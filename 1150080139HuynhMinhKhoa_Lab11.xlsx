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SO.VN\Downloads\"/>
    </mc:Choice>
  </mc:AlternateContent>
  <xr:revisionPtr revIDLastSave="0" documentId="13_ncr:1_{6F80887B-11C8-4A09-9A58-AFB3FF1FC5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_NPV" sheetId="2" r:id="rId1"/>
    <sheet name="02_ROI" sheetId="3" r:id="rId2"/>
    <sheet name="03_Payback" sheetId="4" r:id="rId3"/>
    <sheet name="04_EV" sheetId="5" r:id="rId4"/>
    <sheet name="05_CPI_SPI_2weeks" sheetId="6" r:id="rId5"/>
    <sheet name="06_ProjectEV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4" l="1"/>
  <c r="I6" i="4"/>
  <c r="I5" i="4"/>
  <c r="I4" i="4"/>
  <c r="D12" i="7"/>
  <c r="C11" i="7"/>
  <c r="B15" i="7" s="1"/>
  <c r="D15" i="7" s="1"/>
  <c r="B10" i="7"/>
  <c r="F8" i="7"/>
  <c r="E8" i="7"/>
  <c r="F7" i="7"/>
  <c r="E7" i="7"/>
  <c r="F6" i="7"/>
  <c r="E6" i="7"/>
  <c r="F5" i="7"/>
  <c r="E5" i="7"/>
  <c r="F4" i="7"/>
  <c r="E4" i="7"/>
  <c r="E9" i="6"/>
  <c r="E6" i="6"/>
  <c r="E5" i="6"/>
  <c r="E4" i="6"/>
  <c r="E8" i="6" s="1"/>
  <c r="B12" i="5"/>
  <c r="D9" i="5" s="1"/>
  <c r="B11" i="5"/>
  <c r="D5" i="5" s="1"/>
  <c r="B10" i="5"/>
  <c r="B9" i="5"/>
  <c r="F7" i="4"/>
  <c r="G7" i="4" s="1"/>
  <c r="E7" i="4"/>
  <c r="D7" i="4"/>
  <c r="G6" i="4"/>
  <c r="F6" i="4"/>
  <c r="E6" i="4"/>
  <c r="D6" i="4"/>
  <c r="F5" i="4"/>
  <c r="G5" i="4" s="1"/>
  <c r="E5" i="4"/>
  <c r="D5" i="4"/>
  <c r="F4" i="4"/>
  <c r="G4" i="4" s="1"/>
  <c r="E4" i="4"/>
  <c r="D4" i="4"/>
  <c r="E12" i="3"/>
  <c r="D12" i="3"/>
  <c r="C12" i="3"/>
  <c r="B12" i="3"/>
  <c r="F12" i="3" s="1"/>
  <c r="F14" i="3" s="1"/>
  <c r="F15" i="3" s="1"/>
  <c r="E8" i="3"/>
  <c r="D8" i="3"/>
  <c r="F8" i="3" s="1"/>
  <c r="C8" i="3"/>
  <c r="B8" i="3"/>
  <c r="F13" i="2"/>
  <c r="E13" i="2"/>
  <c r="D13" i="2"/>
  <c r="C13" i="2"/>
  <c r="B13" i="2"/>
  <c r="G8" i="2"/>
  <c r="F8" i="2"/>
  <c r="E8" i="2"/>
  <c r="D8" i="2"/>
  <c r="C8" i="2"/>
  <c r="B8" i="2"/>
  <c r="I5" i="2" s="1"/>
  <c r="I8" i="2" s="1"/>
  <c r="I6" i="2"/>
  <c r="E13" i="6" l="1"/>
  <c r="E12" i="6"/>
  <c r="D6" i="5"/>
  <c r="B14" i="7"/>
</calcChain>
</file>

<file path=xl/sharedStrings.xml><?xml version="1.0" encoding="utf-8"?>
<sst xmlns="http://schemas.openxmlformats.org/spreadsheetml/2006/main" count="93" uniqueCount="72">
  <si>
    <t>Discount rate</t>
  </si>
  <si>
    <t>PROJECT 1</t>
  </si>
  <si>
    <t>YEAR 1</t>
  </si>
  <si>
    <t>YEAR 2</t>
  </si>
  <si>
    <t>YEAR 3</t>
  </si>
  <si>
    <t>YEAR 4</t>
  </si>
  <si>
    <t>YEAR 5</t>
  </si>
  <si>
    <t>Benefits</t>
  </si>
  <si>
    <t>Cost</t>
  </si>
  <si>
    <t>Cash flow</t>
  </si>
  <si>
    <t>PROJECT 2</t>
  </si>
  <si>
    <t>NPV(P1) =</t>
  </si>
  <si>
    <t>NPV(P2) =</t>
  </si>
  <si>
    <t>Dự án chọn</t>
  </si>
  <si>
    <t>Bài 2 – Tính ROI với chiết khấu 8%. Viết lại đề &amp; lập bảng nhân hệ số chiết khấu.</t>
  </si>
  <si>
    <t>Year 0</t>
  </si>
  <si>
    <t>Year 1</t>
  </si>
  <si>
    <t>Year 2</t>
  </si>
  <si>
    <t>Year 3</t>
  </si>
  <si>
    <t>Total</t>
  </si>
  <si>
    <t>Costs</t>
  </si>
  <si>
    <t>Discount factor</t>
  </si>
  <si>
    <t>Discounted Costs</t>
  </si>
  <si>
    <t>Discounted Benefits</t>
  </si>
  <si>
    <t>Discounted Net Benefits = Benefits - Costs</t>
  </si>
  <si>
    <t>ROI = Net / Discounted Costs</t>
  </si>
  <si>
    <t>Bài 3 – Tìm thời gian hoàn vốn (Payback). Viết lại đề &amp; tính lũy kế và payback (năm thập phân).</t>
  </si>
  <si>
    <t>Year</t>
  </si>
  <si>
    <t>Net Flow</t>
  </si>
  <si>
    <t>Cum Costs</t>
  </si>
  <si>
    <t>Cum Benefits</t>
  </si>
  <si>
    <t>Cum Net</t>
  </si>
  <si>
    <t>Payback (years)</t>
  </si>
  <si>
    <t>Số năm tròn trước khi dương:</t>
  </si>
  <si>
    <t>Thiếu hụt trước năm đó:</t>
  </si>
  <si>
    <t>Dòng ròng năm tiếp theo:</t>
  </si>
  <si>
    <t>Payback:</t>
  </si>
  <si>
    <t>Bài 4 – Tính CV, SV, CPI, SPI; đánh giá tiến độ/ngân sách; ước lượng thời gian hoàn thành.</t>
  </si>
  <si>
    <t>Chỉ tiêu</t>
  </si>
  <si>
    <t>Giá trị</t>
  </si>
  <si>
    <t>PV (BCWS)</t>
  </si>
  <si>
    <t>EV (BCWP)</t>
  </si>
  <si>
    <t>AC (ACWP)</t>
  </si>
  <si>
    <t>BAC</t>
  </si>
  <si>
    <t>CV = EV - AC</t>
  </si>
  <si>
    <t>SV = EV - PV</t>
  </si>
  <si>
    <t>CPI = EV/AC</t>
  </si>
  <si>
    <t>SPI = EV/PV</t>
  </si>
  <si>
    <t>Nhận xét</t>
  </si>
  <si>
    <t>Ước lượng thời gian hoàn thành (tháng) nếu kế hoạch 12 tháng:</t>
  </si>
  <si>
    <t>Bài 5 – 8 công việc, 4 tuần, mỗi việc KH $30. Sau 2 tuần có 3 việc đạt như bảng. Tính CPI &amp; SPI.</t>
  </si>
  <si>
    <t>Công việc</t>
  </si>
  <si>
    <t>% hoàn thành</t>
  </si>
  <si>
    <t>Chi phí đã dùng (AC)</t>
  </si>
  <si>
    <t>Giá trị theo KH mỗi việc (PV each)</t>
  </si>
  <si>
    <t>EV (theo %KH)</t>
  </si>
  <si>
    <t>Tổng EV</t>
  </si>
  <si>
    <t>Tổng AC</t>
  </si>
  <si>
    <t>PV sau 2 tuần (50% tổng KH)</t>
  </si>
  <si>
    <t>Bài 6 – Tính CPI &amp; SPI từng công việc và toàn dự án; suy ra thời gian hoàn thành (tuần).</t>
  </si>
  <si>
    <t>CPI_i=EV/AC</t>
  </si>
  <si>
    <t>SPI_i=EV/PV</t>
  </si>
  <si>
    <t>Thiết kế</t>
  </si>
  <si>
    <t>Sản xuất</t>
  </si>
  <si>
    <t>Thẩm định</t>
  </si>
  <si>
    <t>Lắp ráp</t>
  </si>
  <si>
    <t>Bán hàng</t>
  </si>
  <si>
    <t>Tổng PV</t>
  </si>
  <si>
    <t>CPI toàn dự án</t>
  </si>
  <si>
    <t>SPI toàn dự án</t>
  </si>
  <si>
    <t>Ước lượng thời gian hoàn thành (tuần), nếu KH = 12 tuần</t>
  </si>
  <si>
    <t>Bài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</si>
</sst>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1" xfId="0" applyFont="1" applyFill="1" applyBorder="1"/>
    <xf numFmtId="0" fontId="1" fillId="2" borderId="1" xfId="0" applyFont="1" applyFill="1" applyBorder="1"/>
    <xf numFmtId="0" fontId="0" fillId="2" borderId="1" xfId="0" applyFill="1" applyBorder="1"/>
    <xf numFmtId="10" fontId="0" fillId="2" borderId="1" xfId="0" applyNumberFormat="1" applyFill="1" applyBorder="1"/>
    <xf numFmtId="3" fontId="0" fillId="2" borderId="1" xfId="0" applyNumberFormat="1" applyFill="1" applyBorder="1"/>
    <xf numFmtId="2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tabSelected="1" workbookViewId="0">
      <selection activeCell="D12" sqref="D12"/>
    </sheetView>
  </sheetViews>
  <sheetFormatPr defaultRowHeight="14.4" x14ac:dyDescent="0.3"/>
  <cols>
    <col min="1" max="1" width="16.6640625" style="5" customWidth="1"/>
    <col min="2" max="9" width="12.6640625" style="5" customWidth="1"/>
    <col min="10" max="16384" width="8.88671875" style="5"/>
  </cols>
  <sheetData>
    <row r="1" spans="1:9" ht="18" x14ac:dyDescent="0.35">
      <c r="A1" s="4" t="s">
        <v>71</v>
      </c>
    </row>
    <row r="3" spans="1:9" x14ac:dyDescent="0.3">
      <c r="A3" s="3" t="s">
        <v>0</v>
      </c>
      <c r="B3" s="6">
        <v>0.1</v>
      </c>
    </row>
    <row r="5" spans="1:9" x14ac:dyDescent="0.3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H5" s="3" t="s">
        <v>11</v>
      </c>
      <c r="I5" s="7">
        <f>NPV($B$3,B8:F8)</f>
        <v>6861.8015411267215</v>
      </c>
    </row>
    <row r="6" spans="1:9" x14ac:dyDescent="0.3">
      <c r="A6" s="7" t="s">
        <v>7</v>
      </c>
      <c r="B6" s="7">
        <v>0</v>
      </c>
      <c r="C6" s="7">
        <v>2000</v>
      </c>
      <c r="D6" s="7">
        <v>3000</v>
      </c>
      <c r="E6" s="7">
        <v>4000</v>
      </c>
      <c r="F6" s="7">
        <v>5000</v>
      </c>
      <c r="H6" s="3" t="s">
        <v>12</v>
      </c>
      <c r="I6" s="7">
        <f>NPV($B$3,B13:F13)</f>
        <v>3201.4082495606972</v>
      </c>
    </row>
    <row r="7" spans="1:9" x14ac:dyDescent="0.3">
      <c r="A7" s="7" t="s">
        <v>8</v>
      </c>
      <c r="B7" s="7">
        <v>5000</v>
      </c>
      <c r="C7" s="7">
        <v>1000</v>
      </c>
      <c r="D7" s="7">
        <v>1000</v>
      </c>
      <c r="E7" s="7">
        <v>1000</v>
      </c>
      <c r="F7" s="7">
        <v>1000</v>
      </c>
    </row>
    <row r="8" spans="1:9" x14ac:dyDescent="0.3">
      <c r="A8" s="3" t="s">
        <v>9</v>
      </c>
      <c r="B8" s="5">
        <f>B6:B6-B6</f>
        <v>0</v>
      </c>
      <c r="C8" s="7">
        <f>C6-C7</f>
        <v>1000</v>
      </c>
      <c r="D8" s="7">
        <f>D6-D7</f>
        <v>2000</v>
      </c>
      <c r="E8" s="7">
        <f>E6-E7</f>
        <v>3000</v>
      </c>
      <c r="F8" s="7">
        <f>F6-F7</f>
        <v>4000</v>
      </c>
      <c r="G8" s="7">
        <f>G6-G7</f>
        <v>0</v>
      </c>
      <c r="H8" s="3" t="s">
        <v>13</v>
      </c>
      <c r="I8" s="3" t="str">
        <f>IF(I5&gt;I6,"Project 1","Project 2")</f>
        <v>Project 1</v>
      </c>
    </row>
    <row r="10" spans="1:9" x14ac:dyDescent="0.3">
      <c r="A10" s="3" t="s">
        <v>10</v>
      </c>
      <c r="B10" s="3" t="s">
        <v>2</v>
      </c>
      <c r="C10" s="3" t="s">
        <v>3</v>
      </c>
      <c r="D10" s="3" t="s">
        <v>4</v>
      </c>
      <c r="E10" s="3" t="s">
        <v>5</v>
      </c>
      <c r="F10" s="3" t="s">
        <v>6</v>
      </c>
    </row>
    <row r="11" spans="1:9" x14ac:dyDescent="0.3">
      <c r="A11" s="7" t="s">
        <v>7</v>
      </c>
      <c r="B11" s="7">
        <v>1000</v>
      </c>
      <c r="C11" s="7">
        <v>2000</v>
      </c>
      <c r="D11" s="7">
        <v>4000</v>
      </c>
      <c r="E11" s="7">
        <v>4000</v>
      </c>
      <c r="F11" s="7">
        <v>4000</v>
      </c>
    </row>
    <row r="12" spans="1:9" x14ac:dyDescent="0.3">
      <c r="A12" s="7" t="s">
        <v>8</v>
      </c>
      <c r="B12" s="7">
        <v>2000</v>
      </c>
      <c r="C12" s="7">
        <v>2000</v>
      </c>
      <c r="D12" s="7">
        <v>2000</v>
      </c>
      <c r="E12" s="7">
        <v>2000</v>
      </c>
      <c r="F12" s="7">
        <v>2000</v>
      </c>
    </row>
    <row r="13" spans="1:9" x14ac:dyDescent="0.3">
      <c r="A13" s="3" t="s">
        <v>9</v>
      </c>
      <c r="B13" s="7">
        <f>B11-B12</f>
        <v>-1000</v>
      </c>
      <c r="C13" s="7">
        <f>C11-C12</f>
        <v>0</v>
      </c>
      <c r="D13" s="7">
        <f>D11-D12</f>
        <v>2000</v>
      </c>
      <c r="E13" s="7">
        <f>E11-E12</f>
        <v>2000</v>
      </c>
      <c r="F13" s="7">
        <f>F11-F12</f>
        <v>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selection activeCell="C12" sqref="C12"/>
    </sheetView>
  </sheetViews>
  <sheetFormatPr defaultRowHeight="14.4" x14ac:dyDescent="0.3"/>
  <cols>
    <col min="1" max="1" width="34.6640625" style="2" customWidth="1"/>
    <col min="2" max="6" width="14.6640625" style="2" customWidth="1"/>
    <col min="7" max="16384" width="8.88671875" style="2"/>
  </cols>
  <sheetData>
    <row r="1" spans="1:6" ht="18" x14ac:dyDescent="0.35">
      <c r="A1" s="1" t="s">
        <v>14</v>
      </c>
    </row>
    <row r="3" spans="1:6" x14ac:dyDescent="0.3">
      <c r="A3" s="3" t="s">
        <v>0</v>
      </c>
      <c r="B3" s="6">
        <v>0.08</v>
      </c>
    </row>
    <row r="5" spans="1:6" x14ac:dyDescent="0.3">
      <c r="A5" s="3"/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</row>
    <row r="6" spans="1:6" x14ac:dyDescent="0.3">
      <c r="A6" s="3" t="s">
        <v>20</v>
      </c>
      <c r="B6" s="7">
        <v>140000</v>
      </c>
      <c r="C6" s="7">
        <v>40000</v>
      </c>
      <c r="D6" s="7">
        <v>40000</v>
      </c>
      <c r="E6" s="7">
        <v>40000</v>
      </c>
      <c r="F6" s="7"/>
    </row>
    <row r="7" spans="1:6" x14ac:dyDescent="0.3">
      <c r="A7" s="3" t="s">
        <v>21</v>
      </c>
      <c r="B7" s="8">
        <v>1</v>
      </c>
      <c r="C7" s="8">
        <v>0.93</v>
      </c>
      <c r="D7" s="8">
        <v>0.86</v>
      </c>
      <c r="E7" s="8">
        <v>0.79</v>
      </c>
      <c r="F7" s="8"/>
    </row>
    <row r="8" spans="1:6" x14ac:dyDescent="0.3">
      <c r="A8" s="3" t="s">
        <v>22</v>
      </c>
      <c r="B8" s="7">
        <f>B6*B7</f>
        <v>140000</v>
      </c>
      <c r="C8" s="7">
        <f>C6*C7</f>
        <v>37200</v>
      </c>
      <c r="D8" s="7">
        <f>D6*D7</f>
        <v>34400</v>
      </c>
      <c r="E8" s="7">
        <f>E6*E7</f>
        <v>31600</v>
      </c>
      <c r="F8" s="7">
        <f>SUM(B8:E8)</f>
        <v>243200</v>
      </c>
    </row>
    <row r="9" spans="1:6" x14ac:dyDescent="0.3">
      <c r="A9" s="5"/>
      <c r="B9" s="5"/>
      <c r="C9" s="5"/>
      <c r="D9" s="5"/>
      <c r="E9" s="5"/>
      <c r="F9" s="5"/>
    </row>
    <row r="10" spans="1:6" x14ac:dyDescent="0.3">
      <c r="A10" s="3" t="s">
        <v>7</v>
      </c>
      <c r="B10" s="7">
        <v>0</v>
      </c>
      <c r="C10" s="7">
        <v>200000</v>
      </c>
      <c r="D10" s="7">
        <v>200000</v>
      </c>
      <c r="E10" s="7">
        <v>200000</v>
      </c>
      <c r="F10" s="7"/>
    </row>
    <row r="11" spans="1:6" x14ac:dyDescent="0.3">
      <c r="A11" s="3" t="s">
        <v>21</v>
      </c>
      <c r="B11" s="8">
        <v>1</v>
      </c>
      <c r="C11" s="8">
        <v>0.93</v>
      </c>
      <c r="D11" s="8">
        <v>0.86</v>
      </c>
      <c r="E11" s="8">
        <v>0.79</v>
      </c>
      <c r="F11" s="8"/>
    </row>
    <row r="12" spans="1:6" x14ac:dyDescent="0.3">
      <c r="A12" s="3" t="s">
        <v>23</v>
      </c>
      <c r="B12" s="7">
        <f>B10*B11</f>
        <v>0</v>
      </c>
      <c r="C12" s="7">
        <f>C10*C11</f>
        <v>186000</v>
      </c>
      <c r="D12" s="7">
        <f>D10*D11</f>
        <v>172000</v>
      </c>
      <c r="E12" s="7">
        <f>E10*E11</f>
        <v>158000</v>
      </c>
      <c r="F12" s="7">
        <f>SUM(B12:E12)</f>
        <v>516000</v>
      </c>
    </row>
    <row r="13" spans="1:6" x14ac:dyDescent="0.3">
      <c r="A13" s="5"/>
      <c r="B13" s="5"/>
      <c r="C13" s="5"/>
      <c r="D13" s="5"/>
      <c r="E13" s="5"/>
      <c r="F13" s="5"/>
    </row>
    <row r="14" spans="1:6" x14ac:dyDescent="0.3">
      <c r="A14" s="3" t="s">
        <v>24</v>
      </c>
      <c r="B14" s="5"/>
      <c r="C14" s="5"/>
      <c r="D14" s="5"/>
      <c r="E14" s="5"/>
      <c r="F14" s="7">
        <f>F12-F8</f>
        <v>272800</v>
      </c>
    </row>
    <row r="15" spans="1:6" x14ac:dyDescent="0.3">
      <c r="A15" s="3" t="s">
        <v>25</v>
      </c>
      <c r="B15" s="5"/>
      <c r="C15" s="5"/>
      <c r="D15" s="5"/>
      <c r="E15" s="5"/>
      <c r="F15" s="6">
        <f>F14/F8</f>
        <v>1.1217105263157894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>
      <selection activeCell="C9" sqref="C9"/>
    </sheetView>
  </sheetViews>
  <sheetFormatPr defaultRowHeight="14.4" x14ac:dyDescent="0.3"/>
  <cols>
    <col min="1" max="7" width="16.6640625" style="2" customWidth="1"/>
    <col min="8" max="8" width="28.6640625" style="2" customWidth="1"/>
    <col min="9" max="9" width="38.44140625" style="2" customWidth="1"/>
    <col min="10" max="16384" width="8.88671875" style="2"/>
  </cols>
  <sheetData>
    <row r="1" spans="1:9" ht="18" x14ac:dyDescent="0.35">
      <c r="A1" s="1" t="s">
        <v>26</v>
      </c>
    </row>
    <row r="3" spans="1:9" x14ac:dyDescent="0.3">
      <c r="A3" s="3" t="s">
        <v>27</v>
      </c>
      <c r="B3" s="3" t="s">
        <v>20</v>
      </c>
      <c r="C3" s="3" t="s">
        <v>7</v>
      </c>
      <c r="D3" s="3" t="s">
        <v>28</v>
      </c>
      <c r="E3" s="3" t="s">
        <v>29</v>
      </c>
      <c r="F3" s="3" t="s">
        <v>30</v>
      </c>
      <c r="G3" s="3" t="s">
        <v>31</v>
      </c>
      <c r="H3" s="5"/>
      <c r="I3" s="3" t="s">
        <v>32</v>
      </c>
    </row>
    <row r="4" spans="1:9" x14ac:dyDescent="0.3">
      <c r="A4" s="5">
        <v>0</v>
      </c>
      <c r="B4" s="7">
        <v>140000</v>
      </c>
      <c r="C4" s="7">
        <v>0</v>
      </c>
      <c r="D4" s="7">
        <f>C4-B4</f>
        <v>-140000</v>
      </c>
      <c r="E4" s="7">
        <f>SUM($B$4:B4)</f>
        <v>140000</v>
      </c>
      <c r="F4" s="7">
        <f>SUM($C$4:C4)</f>
        <v>0</v>
      </c>
      <c r="G4" s="7">
        <f>F4-E4</f>
        <v>-140000</v>
      </c>
      <c r="H4" s="5" t="s">
        <v>33</v>
      </c>
      <c r="I4" s="5" t="e">
        <f>MATCH(TRUE, G4:G7&gt;=0, 0)-1</f>
        <v>#N/A</v>
      </c>
    </row>
    <row r="5" spans="1:9" x14ac:dyDescent="0.3">
      <c r="A5" s="5">
        <v>1</v>
      </c>
      <c r="B5" s="7">
        <v>37200</v>
      </c>
      <c r="C5" s="7">
        <v>186000</v>
      </c>
      <c r="D5" s="7">
        <f>C5-B5</f>
        <v>148800</v>
      </c>
      <c r="E5" s="7">
        <f>SUM($B$4:B5)</f>
        <v>177200</v>
      </c>
      <c r="F5" s="7">
        <f>SUM($C$4:C5)</f>
        <v>186000</v>
      </c>
      <c r="G5" s="7">
        <f>F5-E5</f>
        <v>8800</v>
      </c>
      <c r="H5" s="5" t="s">
        <v>34</v>
      </c>
      <c r="I5" s="5" t="e">
        <f>INDEX(-G4:G7, I4)</f>
        <v>#N/A</v>
      </c>
    </row>
    <row r="6" spans="1:9" x14ac:dyDescent="0.3">
      <c r="A6" s="5">
        <v>2</v>
      </c>
      <c r="B6" s="7">
        <v>34400</v>
      </c>
      <c r="C6" s="7">
        <v>172000</v>
      </c>
      <c r="D6" s="7">
        <f>C6-B6</f>
        <v>137600</v>
      </c>
      <c r="E6" s="7">
        <f>SUM($B$4:B6)</f>
        <v>211600</v>
      </c>
      <c r="F6" s="7">
        <f>SUM($C$4:C6)</f>
        <v>358000</v>
      </c>
      <c r="G6" s="7">
        <f>F6-E6</f>
        <v>146400</v>
      </c>
      <c r="H6" s="5" t="s">
        <v>35</v>
      </c>
      <c r="I6" s="5" t="e">
        <f>INDEX(D4:D7, I4+1)</f>
        <v>#N/A</v>
      </c>
    </row>
    <row r="7" spans="1:9" x14ac:dyDescent="0.3">
      <c r="A7" s="5">
        <v>3</v>
      </c>
      <c r="B7" s="7">
        <v>31600</v>
      </c>
      <c r="C7" s="7">
        <v>158000</v>
      </c>
      <c r="D7" s="7">
        <f>C7-B7</f>
        <v>126400</v>
      </c>
      <c r="E7" s="7">
        <f>SUM($B$4:B7)</f>
        <v>243200</v>
      </c>
      <c r="F7" s="7">
        <f>SUM($C$4:C7)</f>
        <v>516000</v>
      </c>
      <c r="G7" s="7">
        <f>F7-E7</f>
        <v>272800</v>
      </c>
      <c r="H7" s="5" t="s">
        <v>36</v>
      </c>
      <c r="I7" s="5" t="e">
        <f>I4 + I5/I6</f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workbookViewId="0">
      <selection activeCell="A14" sqref="A14"/>
    </sheetView>
  </sheetViews>
  <sheetFormatPr defaultRowHeight="14.4" x14ac:dyDescent="0.3"/>
  <cols>
    <col min="1" max="4" width="40.6640625" style="5" customWidth="1"/>
    <col min="5" max="16384" width="8.88671875" style="5"/>
  </cols>
  <sheetData>
    <row r="1" spans="1:4" ht="18" x14ac:dyDescent="0.35">
      <c r="A1" s="4" t="s">
        <v>37</v>
      </c>
    </row>
    <row r="3" spans="1:4" x14ac:dyDescent="0.3">
      <c r="A3" s="3" t="s">
        <v>38</v>
      </c>
      <c r="B3" s="3" t="s">
        <v>39</v>
      </c>
    </row>
    <row r="4" spans="1:4" x14ac:dyDescent="0.3">
      <c r="A4" s="5" t="s">
        <v>40</v>
      </c>
      <c r="B4" s="7">
        <v>23000</v>
      </c>
      <c r="D4" s="5" t="s">
        <v>48</v>
      </c>
    </row>
    <row r="5" spans="1:4" x14ac:dyDescent="0.3">
      <c r="A5" s="5" t="s">
        <v>41</v>
      </c>
      <c r="B5" s="7">
        <v>20000</v>
      </c>
      <c r="D5" s="5" t="str">
        <f>IF(B11&gt;=1,"Chi phí tốt/tiết kiệm","Vượt chi phí")</f>
        <v>Vượt chi phí</v>
      </c>
    </row>
    <row r="6" spans="1:4" x14ac:dyDescent="0.3">
      <c r="A6" s="5" t="s">
        <v>42</v>
      </c>
      <c r="B6" s="7">
        <v>25000</v>
      </c>
      <c r="D6" s="5" t="str">
        <f>IF(B12&gt;=1,"Đúng/nhanh tiến độ","Trễ tiến độ")</f>
        <v>Trễ tiến độ</v>
      </c>
    </row>
    <row r="7" spans="1:4" x14ac:dyDescent="0.3">
      <c r="A7" s="5" t="s">
        <v>43</v>
      </c>
      <c r="B7" s="7">
        <v>120000</v>
      </c>
    </row>
    <row r="8" spans="1:4" x14ac:dyDescent="0.3">
      <c r="D8" s="3" t="s">
        <v>49</v>
      </c>
    </row>
    <row r="9" spans="1:4" x14ac:dyDescent="0.3">
      <c r="A9" s="5" t="s">
        <v>44</v>
      </c>
      <c r="B9" s="7">
        <f>B5-B6</f>
        <v>-5000</v>
      </c>
      <c r="D9" s="8">
        <f>12/B12</f>
        <v>13.8</v>
      </c>
    </row>
    <row r="10" spans="1:4" x14ac:dyDescent="0.3">
      <c r="A10" s="5" t="s">
        <v>45</v>
      </c>
      <c r="B10" s="7">
        <f>B5-B4</f>
        <v>-3000</v>
      </c>
    </row>
    <row r="11" spans="1:4" x14ac:dyDescent="0.3">
      <c r="A11" s="5" t="s">
        <v>46</v>
      </c>
      <c r="B11" s="8">
        <f>B5/B6</f>
        <v>0.8</v>
      </c>
    </row>
    <row r="12" spans="1:4" x14ac:dyDescent="0.3">
      <c r="A12" s="5" t="s">
        <v>47</v>
      </c>
      <c r="B12" s="8">
        <f>B5/B4</f>
        <v>0.86956521739130432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>
      <selection sqref="A1:XFD1048576"/>
    </sheetView>
  </sheetViews>
  <sheetFormatPr defaultRowHeight="14.4" x14ac:dyDescent="0.3"/>
  <cols>
    <col min="1" max="5" width="28.6640625" style="5" customWidth="1"/>
    <col min="6" max="16384" width="8.88671875" style="5"/>
  </cols>
  <sheetData>
    <row r="1" spans="1:5" ht="18" x14ac:dyDescent="0.35">
      <c r="A1" s="4" t="s">
        <v>50</v>
      </c>
    </row>
    <row r="3" spans="1:5" x14ac:dyDescent="0.3">
      <c r="A3" s="3" t="s">
        <v>51</v>
      </c>
      <c r="B3" s="3" t="s">
        <v>52</v>
      </c>
      <c r="C3" s="3" t="s">
        <v>53</v>
      </c>
      <c r="D3" s="3" t="s">
        <v>54</v>
      </c>
      <c r="E3" s="3" t="s">
        <v>55</v>
      </c>
    </row>
    <row r="4" spans="1:5" x14ac:dyDescent="0.3">
      <c r="A4" s="5">
        <v>1</v>
      </c>
      <c r="B4" s="6">
        <v>1</v>
      </c>
      <c r="C4" s="7">
        <v>40</v>
      </c>
      <c r="D4" s="7">
        <v>30</v>
      </c>
      <c r="E4" s="7">
        <f>B4*D4</f>
        <v>30</v>
      </c>
    </row>
    <row r="5" spans="1:5" x14ac:dyDescent="0.3">
      <c r="A5" s="5">
        <v>2</v>
      </c>
      <c r="B5" s="6">
        <v>1</v>
      </c>
      <c r="C5" s="7">
        <v>35</v>
      </c>
      <c r="D5" s="7">
        <v>30</v>
      </c>
      <c r="E5" s="7">
        <f>B5*D5</f>
        <v>30</v>
      </c>
    </row>
    <row r="6" spans="1:5" x14ac:dyDescent="0.3">
      <c r="A6" s="5">
        <v>3</v>
      </c>
      <c r="B6" s="6">
        <v>0.5</v>
      </c>
      <c r="C6" s="7">
        <v>20</v>
      </c>
      <c r="D6" s="7">
        <v>30</v>
      </c>
      <c r="E6" s="7">
        <f>B6*D6</f>
        <v>15</v>
      </c>
    </row>
    <row r="8" spans="1:5" x14ac:dyDescent="0.3">
      <c r="A8" s="5" t="s">
        <v>56</v>
      </c>
      <c r="E8" s="7">
        <f>SUM(E4:E6)</f>
        <v>75</v>
      </c>
    </row>
    <row r="9" spans="1:5" x14ac:dyDescent="0.3">
      <c r="A9" s="5" t="s">
        <v>57</v>
      </c>
      <c r="E9" s="7">
        <f>SUM(C4:C6)</f>
        <v>95</v>
      </c>
    </row>
    <row r="10" spans="1:5" x14ac:dyDescent="0.3">
      <c r="A10" s="5" t="s">
        <v>58</v>
      </c>
      <c r="E10" s="7">
        <v>120</v>
      </c>
    </row>
    <row r="12" spans="1:5" x14ac:dyDescent="0.3">
      <c r="A12" s="5" t="s">
        <v>46</v>
      </c>
      <c r="E12" s="8">
        <f>E8/E9</f>
        <v>0.78947368421052633</v>
      </c>
    </row>
    <row r="13" spans="1:5" x14ac:dyDescent="0.3">
      <c r="A13" s="5" t="s">
        <v>47</v>
      </c>
      <c r="E13" s="8">
        <f>E8/E10</f>
        <v>0.625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"/>
  <sheetViews>
    <sheetView workbookViewId="0">
      <selection activeCell="A3" sqref="A3:F17"/>
    </sheetView>
  </sheetViews>
  <sheetFormatPr defaultRowHeight="14.4" x14ac:dyDescent="0.3"/>
  <cols>
    <col min="1" max="6" width="30.6640625" style="2" customWidth="1"/>
    <col min="7" max="16384" width="8.88671875" style="2"/>
  </cols>
  <sheetData>
    <row r="1" spans="1:6" ht="18" x14ac:dyDescent="0.35">
      <c r="A1" s="1" t="s">
        <v>59</v>
      </c>
    </row>
    <row r="3" spans="1:6" x14ac:dyDescent="0.3">
      <c r="A3" s="3" t="s">
        <v>51</v>
      </c>
      <c r="B3" s="3" t="s">
        <v>40</v>
      </c>
      <c r="C3" s="3" t="s">
        <v>41</v>
      </c>
      <c r="D3" s="3" t="s">
        <v>42</v>
      </c>
      <c r="E3" s="3" t="s">
        <v>60</v>
      </c>
      <c r="F3" s="3" t="s">
        <v>61</v>
      </c>
    </row>
    <row r="4" spans="1:6" x14ac:dyDescent="0.3">
      <c r="A4" s="5" t="s">
        <v>62</v>
      </c>
      <c r="B4" s="5">
        <v>4</v>
      </c>
      <c r="C4" s="5">
        <v>5</v>
      </c>
      <c r="D4" s="5">
        <v>5</v>
      </c>
      <c r="E4" s="8">
        <f>IF(D4&gt;0,C4/D4,NA())</f>
        <v>1</v>
      </c>
      <c r="F4" s="8">
        <f>IF(B4&gt;0,C4/B4,NA())</f>
        <v>1.25</v>
      </c>
    </row>
    <row r="5" spans="1:6" x14ac:dyDescent="0.3">
      <c r="A5" s="5" t="s">
        <v>63</v>
      </c>
      <c r="B5" s="5">
        <v>6</v>
      </c>
      <c r="C5" s="5">
        <v>7</v>
      </c>
      <c r="D5" s="5">
        <v>7</v>
      </c>
      <c r="E5" s="8">
        <f>IF(D5&gt;0,C5/D5,NA())</f>
        <v>1</v>
      </c>
      <c r="F5" s="8">
        <f>IF(B5&gt;0,C5/B5,NA())</f>
        <v>1.1666666666666667</v>
      </c>
    </row>
    <row r="6" spans="1:6" x14ac:dyDescent="0.3">
      <c r="A6" s="5" t="s">
        <v>64</v>
      </c>
      <c r="B6" s="5">
        <v>7.5</v>
      </c>
      <c r="C6" s="5">
        <v>5</v>
      </c>
      <c r="D6" s="5">
        <v>7</v>
      </c>
      <c r="E6" s="8">
        <f>IF(D6&gt;0,C6/D6,NA())</f>
        <v>0.7142857142857143</v>
      </c>
      <c r="F6" s="8">
        <f>IF(B6&gt;0,C6/B6,NA())</f>
        <v>0.66666666666666663</v>
      </c>
    </row>
    <row r="7" spans="1:6" x14ac:dyDescent="0.3">
      <c r="A7" s="5" t="s">
        <v>65</v>
      </c>
      <c r="B7" s="5">
        <v>6</v>
      </c>
      <c r="C7" s="5">
        <v>0</v>
      </c>
      <c r="D7" s="5">
        <v>0</v>
      </c>
      <c r="E7" s="8" t="e">
        <f>IF(D7&gt;0,C7/D7,NA())</f>
        <v>#N/A</v>
      </c>
      <c r="F7" s="8">
        <f>IF(B7&gt;0,C7/B7,NA())</f>
        <v>0</v>
      </c>
    </row>
    <row r="8" spans="1:6" x14ac:dyDescent="0.3">
      <c r="A8" s="5" t="s">
        <v>66</v>
      </c>
      <c r="B8" s="5">
        <v>8</v>
      </c>
      <c r="C8" s="5">
        <v>0</v>
      </c>
      <c r="D8" s="5">
        <v>0</v>
      </c>
      <c r="E8" s="8" t="e">
        <f>IF(D8&gt;0,C8/D8,NA())</f>
        <v>#N/A</v>
      </c>
      <c r="F8" s="8">
        <f>IF(B8&gt;0,C8/B8,NA())</f>
        <v>0</v>
      </c>
    </row>
    <row r="9" spans="1:6" x14ac:dyDescent="0.3">
      <c r="A9" s="5"/>
      <c r="B9" s="5"/>
      <c r="C9" s="5"/>
      <c r="D9" s="5"/>
      <c r="E9" s="5"/>
      <c r="F9" s="5"/>
    </row>
    <row r="10" spans="1:6" x14ac:dyDescent="0.3">
      <c r="A10" s="5" t="s">
        <v>67</v>
      </c>
      <c r="B10" s="5">
        <f>SUM(B4:B8)</f>
        <v>31.5</v>
      </c>
      <c r="C10" s="5"/>
      <c r="D10" s="5"/>
      <c r="E10" s="5"/>
      <c r="F10" s="5"/>
    </row>
    <row r="11" spans="1:6" x14ac:dyDescent="0.3">
      <c r="A11" s="5" t="s">
        <v>56</v>
      </c>
      <c r="B11" s="5"/>
      <c r="C11" s="5">
        <f>SUM(C4:C8)</f>
        <v>17</v>
      </c>
      <c r="D11" s="5"/>
      <c r="E11" s="5"/>
      <c r="F11" s="5"/>
    </row>
    <row r="12" spans="1:6" x14ac:dyDescent="0.3">
      <c r="A12" s="5" t="s">
        <v>57</v>
      </c>
      <c r="B12" s="5"/>
      <c r="C12" s="5"/>
      <c r="D12" s="5">
        <f>SUM(D4:D8)</f>
        <v>19</v>
      </c>
      <c r="E12" s="5"/>
      <c r="F12" s="5"/>
    </row>
    <row r="13" spans="1:6" x14ac:dyDescent="0.3">
      <c r="A13" s="5"/>
      <c r="B13" s="5"/>
      <c r="C13" s="5"/>
      <c r="D13" s="5"/>
      <c r="E13" s="5"/>
      <c r="F13" s="5"/>
    </row>
    <row r="14" spans="1:6" x14ac:dyDescent="0.3">
      <c r="A14" s="5" t="s">
        <v>68</v>
      </c>
      <c r="B14" s="8">
        <f>C11/D12</f>
        <v>0.89473684210526316</v>
      </c>
      <c r="C14" s="5"/>
      <c r="D14" s="3" t="s">
        <v>70</v>
      </c>
      <c r="E14" s="5"/>
      <c r="F14" s="5"/>
    </row>
    <row r="15" spans="1:6" x14ac:dyDescent="0.3">
      <c r="A15" s="5" t="s">
        <v>69</v>
      </c>
      <c r="B15" s="8">
        <f>C11/B10</f>
        <v>0.53968253968253965</v>
      </c>
      <c r="C15" s="5"/>
      <c r="D15" s="8">
        <f>12/B15</f>
        <v>22.235294117647062</v>
      </c>
      <c r="E15" s="5"/>
      <c r="F15" s="5"/>
    </row>
    <row r="16" spans="1:6" x14ac:dyDescent="0.3">
      <c r="A16" s="5"/>
      <c r="B16" s="5"/>
      <c r="C16" s="5"/>
      <c r="D16" s="5"/>
      <c r="E16" s="5"/>
      <c r="F16" s="5"/>
    </row>
    <row r="17" spans="1:6" x14ac:dyDescent="0.3">
      <c r="A17" s="5"/>
      <c r="B17" s="5"/>
      <c r="C17" s="5"/>
      <c r="D17" s="5"/>
      <c r="E17" s="5"/>
      <c r="F1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01_NPV</vt:lpstr>
      <vt:lpstr>02_ROI</vt:lpstr>
      <vt:lpstr>03_Payback</vt:lpstr>
      <vt:lpstr>04_EV</vt:lpstr>
      <vt:lpstr>05_CPI_SPI_2weeks</vt:lpstr>
      <vt:lpstr>06_ProjectEV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Khoa Huỳnh Minh</cp:lastModifiedBy>
  <dcterms:created xsi:type="dcterms:W3CDTF">2025-11-10T09:21:44Z</dcterms:created>
  <dcterms:modified xsi:type="dcterms:W3CDTF">2025-11-10T09:55:26Z</dcterms:modified>
</cp:coreProperties>
</file>